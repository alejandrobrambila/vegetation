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mpbell\Documents\GitHub\vegetation\"/>
    </mc:Choice>
  </mc:AlternateContent>
  <xr:revisionPtr revIDLastSave="0" documentId="13_ncr:1_{5F4B9550-55C7-41C9-9FA2-FE684C84563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2" i="1"/>
</calcChain>
</file>

<file path=xl/sharedStrings.xml><?xml version="1.0" encoding="utf-8"?>
<sst xmlns="http://schemas.openxmlformats.org/spreadsheetml/2006/main" count="84" uniqueCount="76">
  <si>
    <t>Field_2025</t>
  </si>
  <si>
    <t>Month Sampled</t>
  </si>
  <si>
    <t>avg_legume</t>
  </si>
  <si>
    <t>grass_forb</t>
  </si>
  <si>
    <t>RCG</t>
  </si>
  <si>
    <t>avg_bare</t>
  </si>
  <si>
    <t>avg_thatch</t>
  </si>
  <si>
    <t>total_harvested</t>
  </si>
  <si>
    <t>total_species</t>
  </si>
  <si>
    <t>dominant_score</t>
  </si>
  <si>
    <t>regrowth_rate</t>
  </si>
  <si>
    <t>live</t>
  </si>
  <si>
    <t>live_rating</t>
  </si>
  <si>
    <t>bare_rating</t>
  </si>
  <si>
    <t>legume_rating</t>
  </si>
  <si>
    <t>regrowth_rating</t>
  </si>
  <si>
    <t>erosion_rating</t>
  </si>
  <si>
    <t>compaction_rating</t>
  </si>
  <si>
    <t>Barberry Woods</t>
  </si>
  <si>
    <t>Briar</t>
  </si>
  <si>
    <t>Broad Meadow</t>
  </si>
  <si>
    <t>Bull</t>
  </si>
  <si>
    <t>Drainage</t>
  </si>
  <si>
    <t>GP1A</t>
  </si>
  <si>
    <t>GP1B</t>
  </si>
  <si>
    <t>GP2A</t>
  </si>
  <si>
    <t>GP2B</t>
  </si>
  <si>
    <t>GP3</t>
  </si>
  <si>
    <t>GP4A</t>
  </si>
  <si>
    <t>GP4B</t>
  </si>
  <si>
    <t>GP4C</t>
  </si>
  <si>
    <t>GP5A</t>
  </si>
  <si>
    <t>GP5B</t>
  </si>
  <si>
    <t>GP5C</t>
  </si>
  <si>
    <t>GP5D</t>
  </si>
  <si>
    <t>GP6A</t>
  </si>
  <si>
    <t>GP6B</t>
  </si>
  <si>
    <t>GP6C</t>
  </si>
  <si>
    <t>GP7</t>
  </si>
  <si>
    <t>GP7A</t>
  </si>
  <si>
    <t>GP8A</t>
  </si>
  <si>
    <t>GP8B</t>
  </si>
  <si>
    <t>GP8C</t>
  </si>
  <si>
    <t>Horse</t>
  </si>
  <si>
    <t>Jimmy's Wet Meadow</t>
  </si>
  <si>
    <t>Lamson Hill</t>
  </si>
  <si>
    <t>Lamson Middle</t>
  </si>
  <si>
    <t>Lamson North</t>
  </si>
  <si>
    <t>Leo's</t>
  </si>
  <si>
    <t>Long Causeway</t>
  </si>
  <si>
    <t>Long Meadow</t>
  </si>
  <si>
    <t>Lower Barberry</t>
  </si>
  <si>
    <t>Lower Sunset</t>
  </si>
  <si>
    <t>Lower Triangle</t>
  </si>
  <si>
    <t>Lower Underhill</t>
  </si>
  <si>
    <t>POW West</t>
  </si>
  <si>
    <t>Plains</t>
  </si>
  <si>
    <t>Plains Woods North</t>
  </si>
  <si>
    <t>Playground</t>
  </si>
  <si>
    <t>Playground Pond</t>
  </si>
  <si>
    <t>Pond</t>
  </si>
  <si>
    <t>Sunset Field</t>
  </si>
  <si>
    <t>Sunset Hill</t>
  </si>
  <si>
    <t>Underhill</t>
  </si>
  <si>
    <t>Underhill Wet Meadow</t>
  </si>
  <si>
    <t>Upper Triangle</t>
  </si>
  <si>
    <t>Williams 1A</t>
  </si>
  <si>
    <t>Williams Central</t>
  </si>
  <si>
    <t>Williams West</t>
  </si>
  <si>
    <t>Wilson</t>
  </si>
  <si>
    <t>sum_score</t>
  </si>
  <si>
    <t>total possible</t>
  </si>
  <si>
    <t>35 points</t>
  </si>
  <si>
    <t>sum_score based on:</t>
  </si>
  <si>
    <t>some columns have missing data,</t>
  </si>
  <si>
    <t>scores are lower as a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</si>
</sst>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4"/>
  <sheetViews>
    <sheetView tabSelected="1" topLeftCell="F1" zoomScale="80" zoomScaleNormal="80" workbookViewId="0">
      <selection activeCell="W19" sqref="W19"/>
    </sheetView>
  </sheetViews>
  <sheetFormatPr defaultRowHeight="14.5" x14ac:dyDescent="0.35"/>
  <cols>
    <col min="10" max="10" width="15.08984375" customWidth="1"/>
    <col min="13" max="13" width="12.26953125" customWidth="1"/>
    <col min="14" max="14" width="14.1796875" customWidth="1"/>
    <col min="15" max="15" width="16.36328125" customWidth="1"/>
    <col min="16" max="16" width="15" customWidth="1"/>
    <col min="17" max="17" width="17.81640625" customWidth="1"/>
    <col min="18" max="18" width="18.1796875" customWidth="1"/>
    <col min="19" max="19" width="10.90625" customWidth="1"/>
  </cols>
  <sheetData>
    <row r="1" spans="1:21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70</v>
      </c>
      <c r="U1" s="1" t="s">
        <v>71</v>
      </c>
    </row>
    <row r="2" spans="1:21" x14ac:dyDescent="0.35">
      <c r="A2" t="s">
        <v>18</v>
      </c>
      <c r="B2">
        <v>7</v>
      </c>
      <c r="C2">
        <v>0.35</v>
      </c>
      <c r="D2">
        <v>1.04</v>
      </c>
      <c r="E2">
        <v>0</v>
      </c>
      <c r="F2">
        <v>1.95</v>
      </c>
      <c r="G2">
        <v>58.75</v>
      </c>
      <c r="H2">
        <v>0</v>
      </c>
      <c r="I2">
        <v>114</v>
      </c>
      <c r="J2">
        <v>0.30555555555555558</v>
      </c>
      <c r="L2">
        <v>39.299999999999997</v>
      </c>
      <c r="M2">
        <v>1</v>
      </c>
      <c r="N2">
        <v>4</v>
      </c>
      <c r="O2">
        <v>1</v>
      </c>
      <c r="P2">
        <v>5</v>
      </c>
      <c r="Q2">
        <v>5</v>
      </c>
      <c r="R2">
        <v>1</v>
      </c>
      <c r="S2">
        <f>SUM(J2,M2,N2,O2,P2,Q2,R2)</f>
        <v>17.305555555555557</v>
      </c>
      <c r="U2" t="s">
        <v>72</v>
      </c>
    </row>
    <row r="3" spans="1:21" x14ac:dyDescent="0.35">
      <c r="A3" t="s">
        <v>19</v>
      </c>
      <c r="B3">
        <v>6</v>
      </c>
      <c r="C3">
        <v>21.363636363636399</v>
      </c>
      <c r="D3">
        <v>1.330434782608694</v>
      </c>
      <c r="E3">
        <v>0.45454545454545497</v>
      </c>
      <c r="F3">
        <v>18.63636363636364</v>
      </c>
      <c r="G3">
        <v>7.4545454545454541</v>
      </c>
      <c r="H3">
        <v>11055.987999999999</v>
      </c>
      <c r="I3">
        <v>34</v>
      </c>
      <c r="J3">
        <v>4.1034482758620694</v>
      </c>
      <c r="K3">
        <v>114.9392857142855</v>
      </c>
      <c r="L3">
        <v>73.909090909090907</v>
      </c>
      <c r="M3">
        <v>3</v>
      </c>
      <c r="N3">
        <v>1</v>
      </c>
      <c r="O3">
        <v>4</v>
      </c>
      <c r="P3">
        <v>3</v>
      </c>
      <c r="Q3">
        <v>5</v>
      </c>
      <c r="R3">
        <v>1</v>
      </c>
      <c r="S3">
        <f t="shared" ref="S3:S54" si="0">SUM(J3,M3,N3,O3,P3,Q3,R3)</f>
        <v>21.103448275862071</v>
      </c>
    </row>
    <row r="4" spans="1:21" x14ac:dyDescent="0.35">
      <c r="A4" t="s">
        <v>20</v>
      </c>
      <c r="B4">
        <v>6</v>
      </c>
      <c r="C4">
        <v>9</v>
      </c>
      <c r="D4">
        <v>1.331838565022422</v>
      </c>
      <c r="E4">
        <v>41.5</v>
      </c>
      <c r="F4">
        <v>2.5</v>
      </c>
      <c r="G4">
        <v>16.75</v>
      </c>
      <c r="H4">
        <v>0</v>
      </c>
      <c r="I4">
        <v>64</v>
      </c>
      <c r="L4">
        <v>80.75</v>
      </c>
      <c r="M4">
        <v>4</v>
      </c>
      <c r="N4">
        <v>3</v>
      </c>
      <c r="O4">
        <v>2</v>
      </c>
      <c r="Q4">
        <v>5</v>
      </c>
      <c r="R4">
        <v>4</v>
      </c>
      <c r="S4">
        <f t="shared" si="0"/>
        <v>18</v>
      </c>
      <c r="U4" t="s">
        <v>73</v>
      </c>
    </row>
    <row r="5" spans="1:21" x14ac:dyDescent="0.35">
      <c r="A5" t="s">
        <v>21</v>
      </c>
      <c r="B5">
        <v>9</v>
      </c>
      <c r="C5">
        <v>6.95</v>
      </c>
      <c r="D5">
        <v>3.2575757575757569</v>
      </c>
      <c r="E5">
        <v>12.75</v>
      </c>
      <c r="F5">
        <v>0</v>
      </c>
      <c r="G5">
        <v>13.35</v>
      </c>
      <c r="H5">
        <v>4295.2</v>
      </c>
      <c r="I5">
        <v>81</v>
      </c>
      <c r="J5">
        <v>3.1818181818181821</v>
      </c>
      <c r="L5">
        <v>86.65</v>
      </c>
      <c r="M5">
        <v>4</v>
      </c>
      <c r="N5">
        <v>5</v>
      </c>
      <c r="O5">
        <v>2</v>
      </c>
      <c r="P5">
        <v>5</v>
      </c>
      <c r="Q5">
        <v>5</v>
      </c>
      <c r="R5">
        <v>1</v>
      </c>
      <c r="S5">
        <f t="shared" si="0"/>
        <v>25.18181818181818</v>
      </c>
      <c r="U5" t="s">
        <v>9</v>
      </c>
    </row>
    <row r="6" spans="1:21" x14ac:dyDescent="0.35">
      <c r="A6" t="s">
        <v>22</v>
      </c>
      <c r="B6">
        <v>7</v>
      </c>
      <c r="C6">
        <v>16.45</v>
      </c>
      <c r="D6">
        <v>2.382331643736423</v>
      </c>
      <c r="E6">
        <v>0</v>
      </c>
      <c r="F6">
        <v>1.25</v>
      </c>
      <c r="G6">
        <v>12.975</v>
      </c>
      <c r="H6">
        <v>43587.68</v>
      </c>
      <c r="I6">
        <v>56</v>
      </c>
      <c r="K6">
        <v>112.4537037037037</v>
      </c>
      <c r="L6">
        <v>85.775000000000006</v>
      </c>
      <c r="M6">
        <v>4</v>
      </c>
      <c r="N6">
        <v>4</v>
      </c>
      <c r="O6">
        <v>3</v>
      </c>
      <c r="P6">
        <v>3</v>
      </c>
      <c r="Q6">
        <v>5</v>
      </c>
      <c r="R6">
        <v>1</v>
      </c>
      <c r="S6">
        <f t="shared" si="0"/>
        <v>20</v>
      </c>
      <c r="U6" t="s">
        <v>12</v>
      </c>
    </row>
    <row r="7" spans="1:21" x14ac:dyDescent="0.35">
      <c r="A7" t="s">
        <v>22</v>
      </c>
      <c r="B7">
        <v>7</v>
      </c>
      <c r="C7">
        <v>16.45</v>
      </c>
      <c r="D7">
        <v>2.382331643736423</v>
      </c>
      <c r="E7">
        <v>24.5</v>
      </c>
      <c r="F7">
        <v>1.25</v>
      </c>
      <c r="G7">
        <v>12.975</v>
      </c>
      <c r="H7">
        <v>43587.68</v>
      </c>
      <c r="I7">
        <v>56</v>
      </c>
      <c r="K7">
        <v>112.4537037037037</v>
      </c>
      <c r="L7">
        <v>85.775000000000006</v>
      </c>
      <c r="M7">
        <v>4</v>
      </c>
      <c r="N7">
        <v>4</v>
      </c>
      <c r="O7">
        <v>3</v>
      </c>
      <c r="P7">
        <v>3</v>
      </c>
      <c r="Q7">
        <v>5</v>
      </c>
      <c r="R7">
        <v>1</v>
      </c>
      <c r="S7">
        <f t="shared" si="0"/>
        <v>20</v>
      </c>
      <c r="U7" t="s">
        <v>13</v>
      </c>
    </row>
    <row r="8" spans="1:21" x14ac:dyDescent="0.35">
      <c r="A8" t="s">
        <v>23</v>
      </c>
      <c r="B8">
        <v>5</v>
      </c>
      <c r="C8">
        <v>20.5790476190476</v>
      </c>
      <c r="D8">
        <v>1.487567295053926</v>
      </c>
      <c r="E8">
        <v>0</v>
      </c>
      <c r="F8">
        <v>4.5790476190476186</v>
      </c>
      <c r="G8">
        <v>9.4209523809523805</v>
      </c>
      <c r="H8">
        <v>9054.5</v>
      </c>
      <c r="I8">
        <v>57</v>
      </c>
      <c r="J8">
        <v>4.4117647058823524</v>
      </c>
      <c r="K8">
        <v>132.43321847507349</v>
      </c>
      <c r="L8">
        <v>86</v>
      </c>
      <c r="M8">
        <v>4</v>
      </c>
      <c r="N8">
        <v>3</v>
      </c>
      <c r="O8">
        <v>4</v>
      </c>
      <c r="P8">
        <v>3</v>
      </c>
      <c r="Q8">
        <v>5</v>
      </c>
      <c r="R8">
        <v>1</v>
      </c>
      <c r="S8">
        <f t="shared" si="0"/>
        <v>24.411764705882351</v>
      </c>
      <c r="U8" t="s">
        <v>14</v>
      </c>
    </row>
    <row r="9" spans="1:21" x14ac:dyDescent="0.35">
      <c r="A9" t="s">
        <v>24</v>
      </c>
      <c r="B9">
        <v>6</v>
      </c>
      <c r="C9">
        <v>5.2</v>
      </c>
      <c r="D9">
        <v>1.9741697416974171</v>
      </c>
      <c r="E9">
        <v>5</v>
      </c>
      <c r="F9">
        <v>1.8</v>
      </c>
      <c r="G9">
        <v>17.5</v>
      </c>
      <c r="H9">
        <v>18206.848000000002</v>
      </c>
      <c r="I9">
        <v>65</v>
      </c>
      <c r="J9">
        <v>3</v>
      </c>
      <c r="K9">
        <v>187.97310924369751</v>
      </c>
      <c r="L9">
        <v>80.7</v>
      </c>
      <c r="M9">
        <v>4</v>
      </c>
      <c r="N9">
        <v>4</v>
      </c>
      <c r="O9">
        <v>2</v>
      </c>
      <c r="P9">
        <v>4</v>
      </c>
      <c r="Q9">
        <v>5</v>
      </c>
      <c r="R9">
        <v>1</v>
      </c>
      <c r="S9">
        <f t="shared" si="0"/>
        <v>23</v>
      </c>
      <c r="U9" t="s">
        <v>15</v>
      </c>
    </row>
    <row r="10" spans="1:21" x14ac:dyDescent="0.35">
      <c r="A10" t="s">
        <v>25</v>
      </c>
      <c r="B10">
        <v>6</v>
      </c>
      <c r="C10">
        <v>18.8095238095238</v>
      </c>
      <c r="D10">
        <v>1.065727699530518</v>
      </c>
      <c r="E10">
        <v>5.28571428571429</v>
      </c>
      <c r="F10">
        <v>9.5238095238095233E-2</v>
      </c>
      <c r="G10">
        <v>25.952380952380949</v>
      </c>
      <c r="H10">
        <v>10429.5</v>
      </c>
      <c r="I10">
        <v>96</v>
      </c>
      <c r="J10">
        <v>2.6315789473684208</v>
      </c>
      <c r="K10">
        <v>179.10994152046791</v>
      </c>
      <c r="L10">
        <v>73.952380952380949</v>
      </c>
      <c r="M10">
        <v>3</v>
      </c>
      <c r="N10">
        <v>4</v>
      </c>
      <c r="O10">
        <v>3</v>
      </c>
      <c r="P10">
        <v>4</v>
      </c>
      <c r="Q10">
        <v>5</v>
      </c>
      <c r="R10">
        <v>1</v>
      </c>
      <c r="S10">
        <f t="shared" si="0"/>
        <v>22.631578947368421</v>
      </c>
      <c r="U10" t="s">
        <v>16</v>
      </c>
    </row>
    <row r="11" spans="1:21" x14ac:dyDescent="0.35">
      <c r="A11" t="s">
        <v>26</v>
      </c>
      <c r="B11">
        <v>6</v>
      </c>
      <c r="C11">
        <v>27.238095238095202</v>
      </c>
      <c r="D11">
        <v>1.9866814650388449</v>
      </c>
      <c r="E11">
        <v>0</v>
      </c>
      <c r="F11">
        <v>1.428571428571429</v>
      </c>
      <c r="G11">
        <v>11.90476190476191</v>
      </c>
      <c r="H11">
        <v>27370.161</v>
      </c>
      <c r="I11">
        <v>57</v>
      </c>
      <c r="J11">
        <v>3.2307692307692308</v>
      </c>
      <c r="K11">
        <v>100.1594629156011</v>
      </c>
      <c r="L11">
        <v>86.666666666666671</v>
      </c>
      <c r="M11">
        <v>4</v>
      </c>
      <c r="N11">
        <v>4</v>
      </c>
      <c r="O11">
        <v>4</v>
      </c>
      <c r="P11">
        <v>3</v>
      </c>
      <c r="Q11">
        <v>5</v>
      </c>
      <c r="R11">
        <v>1</v>
      </c>
      <c r="S11">
        <f t="shared" si="0"/>
        <v>24.23076923076923</v>
      </c>
      <c r="U11" t="s">
        <v>17</v>
      </c>
    </row>
    <row r="12" spans="1:21" x14ac:dyDescent="0.35">
      <c r="A12" t="s">
        <v>27</v>
      </c>
      <c r="B12">
        <v>7</v>
      </c>
      <c r="C12">
        <v>27.35</v>
      </c>
      <c r="D12">
        <v>1.559917355371901</v>
      </c>
      <c r="E12">
        <v>0</v>
      </c>
      <c r="F12">
        <v>2.25</v>
      </c>
      <c r="G12">
        <v>20.5</v>
      </c>
      <c r="H12">
        <v>83024.88</v>
      </c>
      <c r="I12">
        <v>81</v>
      </c>
      <c r="J12">
        <v>4.8666666666666663</v>
      </c>
      <c r="K12">
        <v>167.95445793972101</v>
      </c>
      <c r="L12">
        <v>77.25</v>
      </c>
      <c r="M12">
        <v>3</v>
      </c>
      <c r="N12">
        <v>3</v>
      </c>
      <c r="O12">
        <v>4</v>
      </c>
      <c r="P12">
        <v>4</v>
      </c>
      <c r="Q12">
        <v>5</v>
      </c>
      <c r="R12">
        <v>1</v>
      </c>
      <c r="S12">
        <f t="shared" si="0"/>
        <v>24.866666666666667</v>
      </c>
    </row>
    <row r="13" spans="1:21" x14ac:dyDescent="0.35">
      <c r="A13" t="s">
        <v>28</v>
      </c>
      <c r="B13">
        <v>8</v>
      </c>
      <c r="C13">
        <v>15.3</v>
      </c>
      <c r="D13">
        <v>3.123543123543123</v>
      </c>
      <c r="E13">
        <v>0</v>
      </c>
      <c r="F13">
        <v>3.4</v>
      </c>
      <c r="G13">
        <v>13.35</v>
      </c>
      <c r="H13">
        <v>2486.9699999999998</v>
      </c>
      <c r="I13">
        <v>65</v>
      </c>
      <c r="J13">
        <v>4.7333333333333334</v>
      </c>
      <c r="K13">
        <v>154.02905138339901</v>
      </c>
      <c r="L13">
        <v>83.25</v>
      </c>
      <c r="M13">
        <v>4</v>
      </c>
      <c r="N13">
        <v>3</v>
      </c>
      <c r="O13">
        <v>3</v>
      </c>
      <c r="P13">
        <v>4</v>
      </c>
      <c r="Q13">
        <v>5</v>
      </c>
      <c r="R13">
        <v>2</v>
      </c>
      <c r="S13">
        <f t="shared" si="0"/>
        <v>25.733333333333334</v>
      </c>
      <c r="U13" t="s">
        <v>74</v>
      </c>
    </row>
    <row r="14" spans="1:21" x14ac:dyDescent="0.35">
      <c r="A14" t="s">
        <v>29</v>
      </c>
      <c r="B14">
        <v>8</v>
      </c>
      <c r="C14">
        <v>19.636363636363601</v>
      </c>
      <c r="D14">
        <v>1.615384615384615</v>
      </c>
      <c r="E14">
        <v>0</v>
      </c>
      <c r="F14">
        <v>0</v>
      </c>
      <c r="G14">
        <v>3.6363636363636358</v>
      </c>
      <c r="H14">
        <v>8857.7999999999993</v>
      </c>
      <c r="I14">
        <v>61</v>
      </c>
      <c r="J14">
        <v>4.0285714285714294</v>
      </c>
      <c r="K14">
        <v>203.43670818070831</v>
      </c>
      <c r="L14">
        <v>96.36363636363636</v>
      </c>
      <c r="M14">
        <v>5</v>
      </c>
      <c r="N14">
        <v>5</v>
      </c>
      <c r="O14">
        <v>3</v>
      </c>
      <c r="P14">
        <v>5</v>
      </c>
      <c r="Q14">
        <v>5</v>
      </c>
      <c r="R14">
        <v>2</v>
      </c>
      <c r="S14">
        <f t="shared" si="0"/>
        <v>29.028571428571428</v>
      </c>
      <c r="U14" t="s">
        <v>75</v>
      </c>
    </row>
    <row r="15" spans="1:21" x14ac:dyDescent="0.35">
      <c r="A15" t="s">
        <v>30</v>
      </c>
      <c r="B15">
        <v>8</v>
      </c>
      <c r="C15">
        <v>17.95</v>
      </c>
      <c r="D15">
        <v>2.0138888888888888</v>
      </c>
      <c r="E15">
        <v>0</v>
      </c>
      <c r="F15">
        <v>6.75</v>
      </c>
      <c r="G15">
        <v>16.5</v>
      </c>
      <c r="H15">
        <v>7184.0519999999997</v>
      </c>
      <c r="I15">
        <v>52</v>
      </c>
      <c r="J15">
        <v>3.7441860465116279</v>
      </c>
      <c r="K15">
        <v>148.31543209876531</v>
      </c>
      <c r="L15">
        <v>76.75</v>
      </c>
      <c r="M15">
        <v>3</v>
      </c>
      <c r="N15">
        <v>2</v>
      </c>
      <c r="O15">
        <v>3</v>
      </c>
      <c r="P15">
        <v>3</v>
      </c>
      <c r="Q15">
        <v>5</v>
      </c>
      <c r="R15">
        <v>2</v>
      </c>
      <c r="S15">
        <f t="shared" si="0"/>
        <v>21.744186046511629</v>
      </c>
    </row>
    <row r="16" spans="1:21" x14ac:dyDescent="0.35">
      <c r="A16" t="s">
        <v>31</v>
      </c>
      <c r="B16">
        <v>8</v>
      </c>
      <c r="C16">
        <v>7.9</v>
      </c>
      <c r="D16">
        <v>2.288732394366197</v>
      </c>
      <c r="E16">
        <v>3.75</v>
      </c>
      <c r="F16">
        <v>3.25</v>
      </c>
      <c r="G16">
        <v>12.25</v>
      </c>
      <c r="H16">
        <v>6000.24</v>
      </c>
      <c r="I16">
        <v>68</v>
      </c>
      <c r="J16">
        <v>2.25</v>
      </c>
      <c r="K16">
        <v>117.769230769231</v>
      </c>
      <c r="L16">
        <v>84.5</v>
      </c>
      <c r="M16">
        <v>4</v>
      </c>
      <c r="N16">
        <v>3</v>
      </c>
      <c r="O16">
        <v>2</v>
      </c>
      <c r="P16">
        <v>3</v>
      </c>
      <c r="Q16">
        <v>5</v>
      </c>
      <c r="R16">
        <v>1</v>
      </c>
      <c r="S16">
        <f t="shared" si="0"/>
        <v>20.25</v>
      </c>
    </row>
    <row r="17" spans="1:19" x14ac:dyDescent="0.35">
      <c r="A17" t="s">
        <v>32</v>
      </c>
      <c r="B17">
        <v>7</v>
      </c>
      <c r="C17">
        <v>19.25</v>
      </c>
      <c r="D17">
        <v>1.6217616580310881</v>
      </c>
      <c r="E17">
        <v>1</v>
      </c>
      <c r="F17">
        <v>0.25</v>
      </c>
      <c r="G17">
        <v>5.2</v>
      </c>
      <c r="H17">
        <v>10493.9</v>
      </c>
      <c r="I17">
        <v>69</v>
      </c>
      <c r="J17">
        <v>3.7272727272727271</v>
      </c>
      <c r="K17">
        <v>118.9716791979949</v>
      </c>
      <c r="L17">
        <v>94.55</v>
      </c>
      <c r="M17">
        <v>4</v>
      </c>
      <c r="N17">
        <v>4</v>
      </c>
      <c r="O17">
        <v>3</v>
      </c>
      <c r="P17">
        <v>3</v>
      </c>
      <c r="Q17">
        <v>5</v>
      </c>
      <c r="R17">
        <v>1</v>
      </c>
      <c r="S17">
        <f t="shared" si="0"/>
        <v>23.727272727272727</v>
      </c>
    </row>
    <row r="18" spans="1:19" x14ac:dyDescent="0.35">
      <c r="A18" t="s">
        <v>33</v>
      </c>
      <c r="B18">
        <v>7</v>
      </c>
      <c r="C18">
        <v>0.75</v>
      </c>
      <c r="D18">
        <v>1.4570737605804109</v>
      </c>
      <c r="E18">
        <v>14.25</v>
      </c>
      <c r="F18">
        <v>2.1</v>
      </c>
      <c r="G18">
        <v>9.85</v>
      </c>
      <c r="H18">
        <v>4457.88</v>
      </c>
      <c r="I18">
        <v>43</v>
      </c>
      <c r="J18">
        <v>1.990654205607477</v>
      </c>
      <c r="K18">
        <v>138.78823529411801</v>
      </c>
      <c r="L18">
        <v>88.05</v>
      </c>
      <c r="M18">
        <v>4</v>
      </c>
      <c r="N18">
        <v>3</v>
      </c>
      <c r="O18">
        <v>1</v>
      </c>
      <c r="P18">
        <v>3</v>
      </c>
      <c r="Q18">
        <v>5</v>
      </c>
      <c r="R18">
        <v>1</v>
      </c>
      <c r="S18">
        <f t="shared" si="0"/>
        <v>18.990654205607477</v>
      </c>
    </row>
    <row r="19" spans="1:19" x14ac:dyDescent="0.35">
      <c r="A19" t="s">
        <v>34</v>
      </c>
      <c r="B19">
        <v>7</v>
      </c>
      <c r="C19">
        <v>39.85</v>
      </c>
      <c r="D19">
        <v>1.083665338645418</v>
      </c>
      <c r="E19">
        <v>0</v>
      </c>
      <c r="F19">
        <v>6.95</v>
      </c>
      <c r="G19">
        <v>10.9</v>
      </c>
      <c r="H19">
        <v>7059.25</v>
      </c>
      <c r="I19">
        <v>52</v>
      </c>
      <c r="J19">
        <v>4.1111111111111116</v>
      </c>
      <c r="K19">
        <v>87.339655172413799</v>
      </c>
      <c r="L19">
        <v>82.15</v>
      </c>
      <c r="M19">
        <v>4</v>
      </c>
      <c r="N19">
        <v>2</v>
      </c>
      <c r="O19">
        <v>5</v>
      </c>
      <c r="P19">
        <v>2</v>
      </c>
      <c r="Q19">
        <v>5</v>
      </c>
      <c r="R19">
        <v>1</v>
      </c>
      <c r="S19">
        <f t="shared" si="0"/>
        <v>23.111111111111111</v>
      </c>
    </row>
    <row r="20" spans="1:19" x14ac:dyDescent="0.35">
      <c r="A20" t="s">
        <v>35</v>
      </c>
      <c r="B20">
        <v>6</v>
      </c>
      <c r="C20">
        <v>22.5</v>
      </c>
      <c r="D20">
        <v>1.743016759776536</v>
      </c>
      <c r="E20">
        <v>3.75</v>
      </c>
      <c r="F20">
        <v>2.6</v>
      </c>
      <c r="G20">
        <v>13.25</v>
      </c>
      <c r="H20">
        <v>17875.330000000002</v>
      </c>
      <c r="I20">
        <v>54</v>
      </c>
      <c r="J20">
        <v>4.2799999999999994</v>
      </c>
      <c r="K20">
        <v>132.5315241246208</v>
      </c>
      <c r="L20">
        <v>84.15</v>
      </c>
      <c r="M20">
        <v>4</v>
      </c>
      <c r="N20">
        <v>3</v>
      </c>
      <c r="O20">
        <v>4</v>
      </c>
      <c r="P20">
        <v>3</v>
      </c>
      <c r="Q20">
        <v>5</v>
      </c>
      <c r="R20">
        <v>1</v>
      </c>
      <c r="S20">
        <f t="shared" si="0"/>
        <v>24.28</v>
      </c>
    </row>
    <row r="21" spans="1:19" x14ac:dyDescent="0.35">
      <c r="A21" t="s">
        <v>36</v>
      </c>
      <c r="B21">
        <v>7</v>
      </c>
      <c r="C21">
        <v>4</v>
      </c>
      <c r="D21">
        <v>1.4285714285714299</v>
      </c>
      <c r="E21">
        <v>7.6470588235294104</v>
      </c>
      <c r="F21">
        <v>0</v>
      </c>
      <c r="G21">
        <v>7.6470588235294121</v>
      </c>
      <c r="H21">
        <v>9257.6</v>
      </c>
      <c r="I21">
        <v>53</v>
      </c>
      <c r="J21">
        <v>3.7619047619047619</v>
      </c>
      <c r="K21">
        <v>264.71928104575147</v>
      </c>
      <c r="L21">
        <v>92.352941176470594</v>
      </c>
      <c r="M21">
        <v>4</v>
      </c>
      <c r="N21">
        <v>5</v>
      </c>
      <c r="O21">
        <v>1</v>
      </c>
      <c r="P21">
        <v>5</v>
      </c>
      <c r="Q21">
        <v>5</v>
      </c>
      <c r="R21">
        <v>1</v>
      </c>
      <c r="S21">
        <f t="shared" si="0"/>
        <v>24.761904761904763</v>
      </c>
    </row>
    <row r="22" spans="1:19" x14ac:dyDescent="0.35">
      <c r="A22" t="s">
        <v>37</v>
      </c>
      <c r="B22">
        <v>9</v>
      </c>
      <c r="C22">
        <v>20</v>
      </c>
      <c r="D22">
        <v>1.78169014084507</v>
      </c>
      <c r="E22">
        <v>4.05</v>
      </c>
      <c r="F22">
        <v>2.95</v>
      </c>
      <c r="G22">
        <v>22.75</v>
      </c>
      <c r="H22">
        <v>17043.18</v>
      </c>
      <c r="I22">
        <v>89</v>
      </c>
      <c r="J22">
        <v>4.4000000000000004</v>
      </c>
      <c r="K22">
        <v>222.00637341153481</v>
      </c>
      <c r="L22">
        <v>74.3</v>
      </c>
      <c r="M22">
        <v>3</v>
      </c>
      <c r="N22">
        <v>3</v>
      </c>
      <c r="P22">
        <v>5</v>
      </c>
      <c r="Q22">
        <v>5</v>
      </c>
      <c r="R22">
        <v>1</v>
      </c>
      <c r="S22">
        <f t="shared" si="0"/>
        <v>21.4</v>
      </c>
    </row>
    <row r="23" spans="1:19" x14ac:dyDescent="0.35">
      <c r="A23" t="s">
        <v>38</v>
      </c>
      <c r="B23">
        <v>9</v>
      </c>
      <c r="C23">
        <v>22.2</v>
      </c>
      <c r="D23">
        <v>1.3133640552995389</v>
      </c>
      <c r="E23">
        <v>0</v>
      </c>
      <c r="F23">
        <v>1.2</v>
      </c>
      <c r="G23">
        <v>3.3</v>
      </c>
      <c r="H23">
        <v>49180.473333333299</v>
      </c>
      <c r="I23">
        <v>87</v>
      </c>
      <c r="J23">
        <v>4.8</v>
      </c>
      <c r="K23">
        <v>120.9827327327329</v>
      </c>
      <c r="L23">
        <v>95.5</v>
      </c>
      <c r="M23">
        <v>5</v>
      </c>
      <c r="N23">
        <v>4</v>
      </c>
      <c r="O23">
        <v>4</v>
      </c>
      <c r="P23">
        <v>3</v>
      </c>
      <c r="Q23">
        <v>5</v>
      </c>
      <c r="R23">
        <v>1</v>
      </c>
      <c r="S23">
        <f t="shared" si="0"/>
        <v>26.8</v>
      </c>
    </row>
    <row r="24" spans="1:19" x14ac:dyDescent="0.35">
      <c r="A24" t="s">
        <v>39</v>
      </c>
      <c r="B24">
        <v>9</v>
      </c>
      <c r="C24">
        <v>5.5</v>
      </c>
      <c r="D24">
        <v>0.41927710843373489</v>
      </c>
      <c r="E24">
        <v>0</v>
      </c>
      <c r="F24">
        <v>1.5</v>
      </c>
      <c r="G24">
        <v>84.5</v>
      </c>
      <c r="I24">
        <v>49</v>
      </c>
      <c r="J24">
        <v>3.075471698113208</v>
      </c>
      <c r="L24">
        <v>14</v>
      </c>
      <c r="M24">
        <v>1</v>
      </c>
      <c r="N24">
        <v>4</v>
      </c>
      <c r="O24">
        <v>2</v>
      </c>
      <c r="P24">
        <v>5</v>
      </c>
      <c r="Q24">
        <v>5</v>
      </c>
      <c r="R24">
        <v>1</v>
      </c>
      <c r="S24">
        <f t="shared" si="0"/>
        <v>21.075471698113208</v>
      </c>
    </row>
    <row r="25" spans="1:19" x14ac:dyDescent="0.35">
      <c r="A25" t="s">
        <v>40</v>
      </c>
      <c r="B25">
        <v>9</v>
      </c>
      <c r="C25">
        <v>27.3125</v>
      </c>
      <c r="D25">
        <v>1.333333333333333</v>
      </c>
      <c r="E25">
        <v>0</v>
      </c>
      <c r="F25">
        <v>5</v>
      </c>
      <c r="G25">
        <v>39.375</v>
      </c>
      <c r="H25">
        <v>43683.839999999997</v>
      </c>
      <c r="I25">
        <v>90</v>
      </c>
      <c r="J25">
        <v>4.6875</v>
      </c>
      <c r="K25">
        <v>109.6465201465201</v>
      </c>
      <c r="L25">
        <v>55.625</v>
      </c>
      <c r="M25">
        <v>2</v>
      </c>
      <c r="N25">
        <v>3</v>
      </c>
      <c r="O25">
        <v>4</v>
      </c>
      <c r="P25">
        <v>3</v>
      </c>
      <c r="Q25">
        <v>5</v>
      </c>
      <c r="R25">
        <v>1</v>
      </c>
      <c r="S25">
        <f t="shared" si="0"/>
        <v>22.6875</v>
      </c>
    </row>
    <row r="26" spans="1:19" x14ac:dyDescent="0.35">
      <c r="A26" t="s">
        <v>41</v>
      </c>
      <c r="B26">
        <v>8</v>
      </c>
      <c r="C26">
        <v>26.45</v>
      </c>
      <c r="D26">
        <v>1.7797888386123679</v>
      </c>
      <c r="E26">
        <v>0</v>
      </c>
      <c r="F26">
        <v>0.7</v>
      </c>
      <c r="G26">
        <v>12</v>
      </c>
      <c r="H26">
        <v>975.8</v>
      </c>
      <c r="I26">
        <v>54</v>
      </c>
      <c r="J26">
        <v>2.7272727272727271</v>
      </c>
      <c r="K26">
        <v>207.78181818181801</v>
      </c>
      <c r="L26">
        <v>87.3</v>
      </c>
      <c r="M26">
        <v>4</v>
      </c>
      <c r="N26">
        <v>4</v>
      </c>
      <c r="O26">
        <v>4</v>
      </c>
      <c r="P26">
        <v>5</v>
      </c>
      <c r="Q26">
        <v>5</v>
      </c>
      <c r="R26">
        <v>1</v>
      </c>
      <c r="S26">
        <f t="shared" si="0"/>
        <v>25.727272727272727</v>
      </c>
    </row>
    <row r="27" spans="1:19" x14ac:dyDescent="0.35">
      <c r="A27" t="s">
        <v>42</v>
      </c>
      <c r="B27">
        <v>6</v>
      </c>
      <c r="C27">
        <v>9</v>
      </c>
      <c r="D27">
        <v>1.449101796404022</v>
      </c>
      <c r="E27">
        <v>5</v>
      </c>
      <c r="F27">
        <v>1.0666666667058819</v>
      </c>
      <c r="G27">
        <v>18.667058823529409</v>
      </c>
      <c r="H27">
        <v>0</v>
      </c>
      <c r="I27">
        <v>46</v>
      </c>
      <c r="L27">
        <v>80.266274509764713</v>
      </c>
      <c r="M27">
        <v>4</v>
      </c>
      <c r="N27">
        <v>4</v>
      </c>
      <c r="O27">
        <v>2</v>
      </c>
      <c r="Q27">
        <v>5</v>
      </c>
      <c r="R27">
        <v>1</v>
      </c>
      <c r="S27">
        <f t="shared" si="0"/>
        <v>16</v>
      </c>
    </row>
    <row r="28" spans="1:19" x14ac:dyDescent="0.35">
      <c r="A28" t="s">
        <v>43</v>
      </c>
      <c r="B28">
        <v>6</v>
      </c>
      <c r="C28">
        <v>15.1</v>
      </c>
      <c r="D28">
        <v>2.4655172413793101</v>
      </c>
      <c r="E28">
        <v>6.05</v>
      </c>
      <c r="F28">
        <v>1.65</v>
      </c>
      <c r="G28">
        <v>19.55</v>
      </c>
      <c r="H28">
        <v>11222.96</v>
      </c>
      <c r="I28">
        <v>53</v>
      </c>
      <c r="J28">
        <v>4.7142857142857144</v>
      </c>
      <c r="K28">
        <v>144.34154370778401</v>
      </c>
      <c r="L28">
        <v>78.8</v>
      </c>
      <c r="M28">
        <v>3</v>
      </c>
      <c r="N28">
        <v>4</v>
      </c>
      <c r="O28">
        <v>3</v>
      </c>
      <c r="P28">
        <v>3</v>
      </c>
      <c r="Q28">
        <v>5</v>
      </c>
      <c r="R28">
        <v>1</v>
      </c>
      <c r="S28">
        <f t="shared" si="0"/>
        <v>23.714285714285715</v>
      </c>
    </row>
    <row r="29" spans="1:19" x14ac:dyDescent="0.35">
      <c r="A29" t="s">
        <v>44</v>
      </c>
      <c r="B29">
        <v>6</v>
      </c>
      <c r="C29">
        <v>2.75</v>
      </c>
      <c r="D29">
        <v>1.0092592592592591</v>
      </c>
      <c r="E29">
        <v>21</v>
      </c>
      <c r="F29">
        <v>9.5</v>
      </c>
      <c r="G29">
        <v>13</v>
      </c>
      <c r="I29">
        <v>59</v>
      </c>
      <c r="L29">
        <v>77.5</v>
      </c>
      <c r="M29">
        <v>3</v>
      </c>
      <c r="N29">
        <v>2</v>
      </c>
      <c r="O29">
        <v>1</v>
      </c>
      <c r="Q29">
        <v>5</v>
      </c>
      <c r="R29">
        <v>1</v>
      </c>
      <c r="S29">
        <f t="shared" si="0"/>
        <v>12</v>
      </c>
    </row>
    <row r="30" spans="1:19" x14ac:dyDescent="0.35">
      <c r="A30" t="s">
        <v>45</v>
      </c>
      <c r="B30">
        <v>6</v>
      </c>
      <c r="C30">
        <v>4.8</v>
      </c>
      <c r="D30">
        <v>1.3687499999999999</v>
      </c>
      <c r="E30">
        <v>1</v>
      </c>
      <c r="F30">
        <v>17.5</v>
      </c>
      <c r="G30">
        <v>20.55</v>
      </c>
      <c r="H30">
        <v>0</v>
      </c>
      <c r="I30">
        <v>34</v>
      </c>
      <c r="J30">
        <v>4.0909090909090908</v>
      </c>
      <c r="K30">
        <v>88.890909090909105</v>
      </c>
      <c r="L30">
        <v>61.95</v>
      </c>
      <c r="M30">
        <v>2</v>
      </c>
      <c r="N30">
        <v>1</v>
      </c>
      <c r="O30">
        <v>1</v>
      </c>
      <c r="P30">
        <v>2</v>
      </c>
      <c r="Q30">
        <v>5</v>
      </c>
      <c r="R30">
        <v>1</v>
      </c>
      <c r="S30">
        <f t="shared" si="0"/>
        <v>16.09090909090909</v>
      </c>
    </row>
    <row r="31" spans="1:19" x14ac:dyDescent="0.35">
      <c r="A31" t="s">
        <v>46</v>
      </c>
      <c r="B31">
        <v>6</v>
      </c>
      <c r="C31">
        <v>25.3333333333333</v>
      </c>
      <c r="D31">
        <v>0.86219081272084797</v>
      </c>
      <c r="E31">
        <v>14.523809523809501</v>
      </c>
      <c r="F31">
        <v>6.8095238095238093</v>
      </c>
      <c r="G31">
        <v>15.47619047619048</v>
      </c>
      <c r="H31">
        <v>0</v>
      </c>
      <c r="I31">
        <v>48</v>
      </c>
      <c r="J31">
        <v>2.9740259740259738</v>
      </c>
      <c r="K31">
        <v>94.771159874608259</v>
      </c>
      <c r="L31">
        <v>77.714285714285722</v>
      </c>
      <c r="M31">
        <v>3</v>
      </c>
      <c r="N31">
        <v>2</v>
      </c>
      <c r="O31">
        <v>4</v>
      </c>
      <c r="P31">
        <v>2</v>
      </c>
      <c r="Q31">
        <v>5</v>
      </c>
      <c r="R31">
        <v>1</v>
      </c>
      <c r="S31">
        <f t="shared" si="0"/>
        <v>19.974025974025974</v>
      </c>
    </row>
    <row r="32" spans="1:19" x14ac:dyDescent="0.35">
      <c r="A32" t="s">
        <v>47</v>
      </c>
      <c r="B32">
        <v>6</v>
      </c>
      <c r="C32">
        <v>23.6666666666667</v>
      </c>
      <c r="D32">
        <v>1.371681415929203</v>
      </c>
      <c r="E32">
        <v>0</v>
      </c>
      <c r="F32">
        <v>18.333333333333329</v>
      </c>
      <c r="G32">
        <v>19.523809523809529</v>
      </c>
      <c r="H32">
        <v>11521.2</v>
      </c>
      <c r="I32">
        <v>28</v>
      </c>
      <c r="J32">
        <v>3.4705882352941169</v>
      </c>
      <c r="K32">
        <v>87.21992530345473</v>
      </c>
      <c r="L32">
        <v>62.142857142857139</v>
      </c>
      <c r="M32">
        <v>2</v>
      </c>
      <c r="N32">
        <v>1</v>
      </c>
      <c r="O32">
        <v>4</v>
      </c>
      <c r="P32">
        <v>2</v>
      </c>
      <c r="Q32">
        <v>5</v>
      </c>
      <c r="R32">
        <v>1</v>
      </c>
      <c r="S32">
        <f t="shared" si="0"/>
        <v>18.470588235294116</v>
      </c>
    </row>
    <row r="33" spans="1:19" x14ac:dyDescent="0.35">
      <c r="A33" t="s">
        <v>48</v>
      </c>
      <c r="B33">
        <v>6</v>
      </c>
      <c r="C33">
        <v>25.75</v>
      </c>
      <c r="D33">
        <v>1.0144404332129959</v>
      </c>
      <c r="E33">
        <v>0</v>
      </c>
      <c r="F33">
        <v>13.05</v>
      </c>
      <c r="G33">
        <v>12.3</v>
      </c>
      <c r="H33">
        <v>25491.200000000001</v>
      </c>
      <c r="I33">
        <v>36</v>
      </c>
      <c r="J33">
        <v>4.5833333333333339</v>
      </c>
      <c r="K33">
        <v>106.78564605329331</v>
      </c>
      <c r="L33">
        <v>74.650000000000006</v>
      </c>
      <c r="M33">
        <v>3</v>
      </c>
      <c r="N33">
        <v>1</v>
      </c>
      <c r="O33">
        <v>4</v>
      </c>
      <c r="P33">
        <v>3</v>
      </c>
      <c r="Q33">
        <v>5</v>
      </c>
      <c r="R33">
        <v>1</v>
      </c>
      <c r="S33">
        <f t="shared" si="0"/>
        <v>21.583333333333336</v>
      </c>
    </row>
    <row r="34" spans="1:19" x14ac:dyDescent="0.35">
      <c r="A34" t="s">
        <v>49</v>
      </c>
      <c r="B34">
        <v>6</v>
      </c>
      <c r="C34">
        <v>0</v>
      </c>
      <c r="D34">
        <v>8.2222222222222214</v>
      </c>
      <c r="E34">
        <v>71.75</v>
      </c>
      <c r="F34">
        <v>4.25</v>
      </c>
      <c r="G34">
        <v>32</v>
      </c>
      <c r="I34">
        <v>28</v>
      </c>
      <c r="L34">
        <v>63.75</v>
      </c>
      <c r="M34">
        <v>2</v>
      </c>
      <c r="N34">
        <v>3</v>
      </c>
      <c r="O34">
        <v>1</v>
      </c>
      <c r="Q34">
        <v>5</v>
      </c>
      <c r="R34">
        <v>1</v>
      </c>
      <c r="S34">
        <f t="shared" si="0"/>
        <v>12</v>
      </c>
    </row>
    <row r="35" spans="1:19" x14ac:dyDescent="0.35">
      <c r="A35" t="s">
        <v>50</v>
      </c>
      <c r="B35">
        <v>6</v>
      </c>
      <c r="C35">
        <v>0.5</v>
      </c>
      <c r="D35">
        <v>2.021791767554479</v>
      </c>
      <c r="E35">
        <v>4.25</v>
      </c>
      <c r="F35">
        <v>6</v>
      </c>
      <c r="G35">
        <v>16.5</v>
      </c>
      <c r="H35">
        <v>37571.24</v>
      </c>
      <c r="I35">
        <v>56</v>
      </c>
      <c r="L35">
        <v>77.5</v>
      </c>
      <c r="M35">
        <v>3</v>
      </c>
      <c r="N35">
        <v>2</v>
      </c>
      <c r="O35">
        <v>1</v>
      </c>
      <c r="Q35">
        <v>5</v>
      </c>
      <c r="R35">
        <v>1</v>
      </c>
      <c r="S35">
        <f t="shared" si="0"/>
        <v>12</v>
      </c>
    </row>
    <row r="36" spans="1:19" x14ac:dyDescent="0.35">
      <c r="A36" t="s">
        <v>51</v>
      </c>
      <c r="B36">
        <v>6</v>
      </c>
      <c r="C36">
        <v>26.5</v>
      </c>
      <c r="D36">
        <v>1.8326271186440679</v>
      </c>
      <c r="E36">
        <v>7</v>
      </c>
      <c r="F36">
        <v>2.1</v>
      </c>
      <c r="G36">
        <v>13.1</v>
      </c>
      <c r="H36">
        <v>5369.28</v>
      </c>
      <c r="I36">
        <v>67</v>
      </c>
      <c r="J36">
        <v>3.1764705882352939</v>
      </c>
      <c r="K36">
        <v>166.344246031746</v>
      </c>
      <c r="L36">
        <v>84.8</v>
      </c>
      <c r="M36">
        <v>4</v>
      </c>
      <c r="N36">
        <v>3</v>
      </c>
      <c r="O36">
        <v>4</v>
      </c>
      <c r="P36">
        <v>4</v>
      </c>
      <c r="Q36">
        <v>5</v>
      </c>
      <c r="R36">
        <v>1</v>
      </c>
      <c r="S36">
        <f t="shared" si="0"/>
        <v>24.176470588235293</v>
      </c>
    </row>
    <row r="37" spans="1:19" x14ac:dyDescent="0.35">
      <c r="A37" t="s">
        <v>52</v>
      </c>
      <c r="B37">
        <v>11</v>
      </c>
      <c r="C37">
        <v>8.6</v>
      </c>
      <c r="D37">
        <v>2.8055555555555549</v>
      </c>
      <c r="E37">
        <v>7.75</v>
      </c>
      <c r="F37">
        <v>5.25</v>
      </c>
      <c r="G37">
        <v>11</v>
      </c>
      <c r="H37">
        <v>25290</v>
      </c>
      <c r="K37">
        <v>190.37614071752029</v>
      </c>
      <c r="L37">
        <v>83.75</v>
      </c>
      <c r="M37">
        <v>4</v>
      </c>
      <c r="N37">
        <v>2</v>
      </c>
      <c r="O37">
        <v>2</v>
      </c>
      <c r="P37">
        <v>4</v>
      </c>
      <c r="Q37">
        <v>5</v>
      </c>
      <c r="R37">
        <v>1</v>
      </c>
      <c r="S37">
        <f t="shared" si="0"/>
        <v>18</v>
      </c>
    </row>
    <row r="38" spans="1:19" x14ac:dyDescent="0.35">
      <c r="A38" t="s">
        <v>53</v>
      </c>
      <c r="B38">
        <v>9</v>
      </c>
      <c r="C38">
        <v>21.25</v>
      </c>
      <c r="D38">
        <v>1.1308411214953289</v>
      </c>
      <c r="E38">
        <v>17.0833333333333</v>
      </c>
      <c r="F38">
        <v>5.333333333333333</v>
      </c>
      <c r="G38">
        <v>15.33333333333333</v>
      </c>
      <c r="H38">
        <v>9738.66</v>
      </c>
      <c r="I38">
        <v>86</v>
      </c>
      <c r="J38">
        <v>3.375</v>
      </c>
      <c r="K38">
        <v>121.5174669533575</v>
      </c>
      <c r="L38">
        <v>79.333333333333329</v>
      </c>
      <c r="M38">
        <v>3</v>
      </c>
      <c r="N38">
        <v>2</v>
      </c>
      <c r="O38">
        <v>4</v>
      </c>
      <c r="P38">
        <v>3</v>
      </c>
      <c r="Q38">
        <v>5</v>
      </c>
      <c r="R38">
        <v>1</v>
      </c>
      <c r="S38">
        <f t="shared" si="0"/>
        <v>21.375</v>
      </c>
    </row>
    <row r="39" spans="1:19" x14ac:dyDescent="0.35">
      <c r="A39" t="s">
        <v>54</v>
      </c>
      <c r="B39">
        <v>7</v>
      </c>
      <c r="C39">
        <v>1.1818181818181801</v>
      </c>
      <c r="D39">
        <v>1.1067961165048541</v>
      </c>
      <c r="E39">
        <v>27.272727272727298</v>
      </c>
      <c r="F39">
        <v>0.90909090909090906</v>
      </c>
      <c r="G39">
        <v>22.72727272727273</v>
      </c>
      <c r="H39">
        <v>10908.281999999999</v>
      </c>
      <c r="I39">
        <v>64</v>
      </c>
      <c r="K39">
        <v>187.43847416950871</v>
      </c>
      <c r="L39">
        <v>76.36363636363636</v>
      </c>
      <c r="M39">
        <v>3</v>
      </c>
      <c r="N39">
        <v>4</v>
      </c>
      <c r="O39">
        <v>1</v>
      </c>
      <c r="P39">
        <v>4</v>
      </c>
      <c r="Q39">
        <v>5</v>
      </c>
      <c r="R39">
        <v>1</v>
      </c>
      <c r="S39">
        <f t="shared" si="0"/>
        <v>18</v>
      </c>
    </row>
    <row r="40" spans="1:19" x14ac:dyDescent="0.35">
      <c r="A40" t="s">
        <v>55</v>
      </c>
      <c r="B40">
        <v>10</v>
      </c>
      <c r="C40">
        <v>3.2</v>
      </c>
      <c r="D40">
        <v>1.3803088803088801</v>
      </c>
      <c r="E40">
        <v>0</v>
      </c>
      <c r="F40">
        <v>2.9</v>
      </c>
      <c r="G40">
        <v>13.8</v>
      </c>
      <c r="I40">
        <v>64</v>
      </c>
      <c r="J40">
        <v>3.8461538461538458</v>
      </c>
      <c r="L40">
        <v>83.3</v>
      </c>
      <c r="M40">
        <v>4</v>
      </c>
      <c r="N40">
        <v>3</v>
      </c>
      <c r="O40">
        <v>1</v>
      </c>
      <c r="P40">
        <v>2</v>
      </c>
      <c r="Q40">
        <v>5</v>
      </c>
      <c r="R40">
        <v>1</v>
      </c>
      <c r="S40">
        <f t="shared" si="0"/>
        <v>19.846153846153847</v>
      </c>
    </row>
    <row r="41" spans="1:19" x14ac:dyDescent="0.35">
      <c r="A41" t="s">
        <v>56</v>
      </c>
      <c r="B41">
        <v>5</v>
      </c>
      <c r="C41">
        <v>58</v>
      </c>
      <c r="D41">
        <v>0.8783783783783784</v>
      </c>
      <c r="E41">
        <v>0</v>
      </c>
      <c r="F41">
        <v>16.149999999999999</v>
      </c>
      <c r="G41">
        <v>7.25</v>
      </c>
      <c r="H41">
        <v>91599.2</v>
      </c>
      <c r="I41">
        <v>28</v>
      </c>
      <c r="J41">
        <v>4.5555555555555554</v>
      </c>
      <c r="K41">
        <v>112.6163023063631</v>
      </c>
      <c r="L41">
        <v>76.599999999999994</v>
      </c>
      <c r="M41">
        <v>3</v>
      </c>
      <c r="N41">
        <v>1</v>
      </c>
      <c r="O41">
        <v>1</v>
      </c>
      <c r="P41">
        <v>3</v>
      </c>
      <c r="Q41">
        <v>5</v>
      </c>
      <c r="R41">
        <v>1</v>
      </c>
      <c r="S41">
        <f t="shared" si="0"/>
        <v>18.555555555555557</v>
      </c>
    </row>
    <row r="42" spans="1:19" x14ac:dyDescent="0.35">
      <c r="A42" t="s">
        <v>57</v>
      </c>
      <c r="B42">
        <v>6</v>
      </c>
      <c r="C42">
        <v>5.25</v>
      </c>
      <c r="D42">
        <v>1.3020408163265309</v>
      </c>
      <c r="E42">
        <v>38.75</v>
      </c>
      <c r="F42">
        <v>0.25</v>
      </c>
      <c r="G42">
        <v>11</v>
      </c>
      <c r="H42">
        <v>0</v>
      </c>
      <c r="I42">
        <v>63</v>
      </c>
      <c r="L42">
        <v>88.75</v>
      </c>
      <c r="M42">
        <v>4</v>
      </c>
      <c r="N42">
        <v>4</v>
      </c>
      <c r="O42">
        <v>2</v>
      </c>
      <c r="Q42">
        <v>5</v>
      </c>
      <c r="R42">
        <v>1</v>
      </c>
      <c r="S42">
        <f t="shared" si="0"/>
        <v>16</v>
      </c>
    </row>
    <row r="43" spans="1:19" x14ac:dyDescent="0.35">
      <c r="A43" t="s">
        <v>58</v>
      </c>
      <c r="B43">
        <v>6</v>
      </c>
      <c r="C43">
        <v>51.75</v>
      </c>
      <c r="D43">
        <v>1.054237288135593</v>
      </c>
      <c r="E43">
        <v>0</v>
      </c>
      <c r="F43">
        <v>13.25</v>
      </c>
      <c r="G43">
        <v>4.5</v>
      </c>
      <c r="H43">
        <v>27112.400000000001</v>
      </c>
      <c r="I43">
        <v>28</v>
      </c>
      <c r="J43">
        <v>4.6000000000000014</v>
      </c>
      <c r="K43">
        <v>79.275757575757609</v>
      </c>
      <c r="L43">
        <v>82.25</v>
      </c>
      <c r="M43">
        <v>4</v>
      </c>
      <c r="N43">
        <v>1</v>
      </c>
      <c r="O43">
        <v>1</v>
      </c>
      <c r="P43">
        <v>2</v>
      </c>
      <c r="Q43">
        <v>5</v>
      </c>
      <c r="R43">
        <v>1</v>
      </c>
      <c r="S43">
        <f t="shared" si="0"/>
        <v>18.600000000000001</v>
      </c>
    </row>
    <row r="44" spans="1:19" x14ac:dyDescent="0.35">
      <c r="A44" t="s">
        <v>59</v>
      </c>
      <c r="B44">
        <v>6</v>
      </c>
      <c r="C44">
        <v>2</v>
      </c>
      <c r="D44">
        <v>1.10593220338983</v>
      </c>
      <c r="E44">
        <v>38.299999999999997</v>
      </c>
      <c r="F44">
        <v>2.8</v>
      </c>
      <c r="G44">
        <v>13.75</v>
      </c>
      <c r="I44">
        <v>60</v>
      </c>
      <c r="L44">
        <v>83.45</v>
      </c>
      <c r="M44">
        <v>4</v>
      </c>
      <c r="N44">
        <v>3</v>
      </c>
      <c r="O44">
        <v>1</v>
      </c>
      <c r="Q44">
        <v>5</v>
      </c>
      <c r="R44">
        <v>1</v>
      </c>
      <c r="S44">
        <f t="shared" si="0"/>
        <v>14</v>
      </c>
    </row>
    <row r="45" spans="1:19" x14ac:dyDescent="0.35">
      <c r="A45" t="s">
        <v>60</v>
      </c>
      <c r="B45">
        <v>6</v>
      </c>
      <c r="C45">
        <v>0.5</v>
      </c>
      <c r="D45">
        <v>3.2840909090909092</v>
      </c>
      <c r="E45">
        <v>56.25</v>
      </c>
      <c r="F45">
        <v>5.25</v>
      </c>
      <c r="G45">
        <v>36</v>
      </c>
      <c r="H45">
        <v>5606.6959999999999</v>
      </c>
      <c r="I45">
        <v>38</v>
      </c>
      <c r="K45">
        <v>123.931034482759</v>
      </c>
      <c r="L45">
        <v>58.75</v>
      </c>
      <c r="M45">
        <v>2</v>
      </c>
      <c r="N45">
        <v>2</v>
      </c>
      <c r="O45">
        <v>1</v>
      </c>
      <c r="P45">
        <v>3</v>
      </c>
      <c r="Q45">
        <v>5</v>
      </c>
      <c r="R45">
        <v>1</v>
      </c>
      <c r="S45">
        <f t="shared" si="0"/>
        <v>14</v>
      </c>
    </row>
    <row r="46" spans="1:19" x14ac:dyDescent="0.35">
      <c r="A46" t="s">
        <v>61</v>
      </c>
      <c r="B46">
        <v>6</v>
      </c>
      <c r="C46">
        <v>33.200000000000003</v>
      </c>
      <c r="D46">
        <v>1.4423076923076921</v>
      </c>
      <c r="E46">
        <v>0</v>
      </c>
      <c r="F46">
        <v>1.5</v>
      </c>
      <c r="G46">
        <v>13.3</v>
      </c>
      <c r="H46">
        <v>2144.5419999999999</v>
      </c>
      <c r="I46">
        <v>45</v>
      </c>
      <c r="J46">
        <v>3.3529411764705879</v>
      </c>
      <c r="K46">
        <v>120.2738641475481</v>
      </c>
      <c r="L46">
        <v>85.2</v>
      </c>
      <c r="M46">
        <v>4</v>
      </c>
      <c r="N46">
        <v>4</v>
      </c>
      <c r="O46">
        <v>5</v>
      </c>
      <c r="P46">
        <v>3</v>
      </c>
      <c r="Q46">
        <v>5</v>
      </c>
      <c r="R46">
        <v>1</v>
      </c>
      <c r="S46">
        <f t="shared" si="0"/>
        <v>25.352941176470587</v>
      </c>
    </row>
    <row r="47" spans="1:19" x14ac:dyDescent="0.35">
      <c r="A47" t="s">
        <v>62</v>
      </c>
      <c r="B47">
        <v>6</v>
      </c>
      <c r="C47">
        <v>35.85</v>
      </c>
      <c r="D47">
        <v>1.0601503759398501</v>
      </c>
      <c r="E47">
        <v>0</v>
      </c>
      <c r="F47">
        <v>2.2000000000000002</v>
      </c>
      <c r="G47">
        <v>15.15</v>
      </c>
      <c r="H47">
        <v>24713.78</v>
      </c>
      <c r="I47">
        <v>60</v>
      </c>
      <c r="J47">
        <v>4.6521739130434776</v>
      </c>
      <c r="K47">
        <v>186.38163398692831</v>
      </c>
      <c r="L47">
        <v>82.65</v>
      </c>
      <c r="M47">
        <v>4</v>
      </c>
      <c r="N47">
        <v>3</v>
      </c>
      <c r="O47">
        <v>5</v>
      </c>
      <c r="P47">
        <v>4</v>
      </c>
      <c r="Q47">
        <v>5</v>
      </c>
      <c r="R47">
        <v>1</v>
      </c>
      <c r="S47">
        <f t="shared" si="0"/>
        <v>26.652173913043477</v>
      </c>
    </row>
    <row r="48" spans="1:19" x14ac:dyDescent="0.35">
      <c r="A48" t="s">
        <v>63</v>
      </c>
      <c r="B48">
        <v>8</v>
      </c>
      <c r="C48">
        <v>11.95</v>
      </c>
      <c r="D48">
        <v>3.112676056338028</v>
      </c>
      <c r="E48">
        <v>13.55</v>
      </c>
      <c r="F48">
        <v>6.5</v>
      </c>
      <c r="G48">
        <v>16.25</v>
      </c>
      <c r="H48">
        <v>10473.308999999999</v>
      </c>
      <c r="I48">
        <v>94</v>
      </c>
      <c r="J48">
        <v>4.2142857142857144</v>
      </c>
      <c r="K48">
        <v>146.6</v>
      </c>
      <c r="L48">
        <v>77.25</v>
      </c>
      <c r="M48">
        <v>3</v>
      </c>
      <c r="N48">
        <v>2</v>
      </c>
      <c r="O48">
        <v>3</v>
      </c>
      <c r="P48">
        <v>3</v>
      </c>
      <c r="Q48">
        <v>5</v>
      </c>
      <c r="R48">
        <v>1</v>
      </c>
      <c r="S48">
        <f t="shared" si="0"/>
        <v>21.214285714285715</v>
      </c>
    </row>
    <row r="49" spans="1:19" x14ac:dyDescent="0.35">
      <c r="A49" t="s">
        <v>64</v>
      </c>
      <c r="B49">
        <v>8</v>
      </c>
      <c r="C49">
        <v>5.6</v>
      </c>
      <c r="D49">
        <v>3.6612021857923498</v>
      </c>
      <c r="E49">
        <v>28.55</v>
      </c>
      <c r="F49">
        <v>3.35</v>
      </c>
      <c r="G49">
        <v>13.75</v>
      </c>
      <c r="H49">
        <v>25760</v>
      </c>
      <c r="I49">
        <v>67</v>
      </c>
      <c r="K49">
        <v>147.1857142857142</v>
      </c>
      <c r="L49">
        <v>82.9</v>
      </c>
      <c r="M49">
        <v>4</v>
      </c>
      <c r="N49">
        <v>3</v>
      </c>
      <c r="O49">
        <v>2</v>
      </c>
      <c r="P49">
        <v>3</v>
      </c>
      <c r="Q49">
        <v>5</v>
      </c>
      <c r="R49">
        <v>1</v>
      </c>
      <c r="S49">
        <f t="shared" si="0"/>
        <v>18</v>
      </c>
    </row>
    <row r="50" spans="1:19" x14ac:dyDescent="0.35">
      <c r="A50" t="s">
        <v>65</v>
      </c>
      <c r="B50">
        <v>9</v>
      </c>
      <c r="C50">
        <v>23.25</v>
      </c>
      <c r="D50">
        <v>1.688405797101449</v>
      </c>
      <c r="E50">
        <v>3.75</v>
      </c>
      <c r="F50">
        <v>6.25</v>
      </c>
      <c r="G50">
        <v>23</v>
      </c>
      <c r="H50">
        <v>5719.65</v>
      </c>
      <c r="I50">
        <v>90</v>
      </c>
      <c r="J50">
        <v>4.4000000000000004</v>
      </c>
      <c r="K50">
        <v>155.86946778711501</v>
      </c>
      <c r="L50">
        <v>70.75</v>
      </c>
      <c r="M50">
        <v>3</v>
      </c>
      <c r="N50">
        <v>2</v>
      </c>
      <c r="O50">
        <v>4</v>
      </c>
      <c r="P50">
        <v>4</v>
      </c>
      <c r="Q50">
        <v>5</v>
      </c>
      <c r="R50">
        <v>1</v>
      </c>
      <c r="S50">
        <f t="shared" si="0"/>
        <v>23.4</v>
      </c>
    </row>
    <row r="51" spans="1:19" x14ac:dyDescent="0.35">
      <c r="A51" t="s">
        <v>66</v>
      </c>
      <c r="B51">
        <v>10</v>
      </c>
      <c r="C51">
        <v>26.6666666666667</v>
      </c>
      <c r="D51">
        <v>1.3678160919540221</v>
      </c>
      <c r="E51">
        <v>3</v>
      </c>
      <c r="F51">
        <v>12.08333333333333</v>
      </c>
      <c r="G51">
        <v>47.5</v>
      </c>
      <c r="H51">
        <v>3634</v>
      </c>
      <c r="I51">
        <v>76</v>
      </c>
      <c r="J51">
        <v>3.875</v>
      </c>
      <c r="K51">
        <v>97.387089947089834</v>
      </c>
      <c r="L51">
        <v>40.416666666666657</v>
      </c>
      <c r="M51">
        <v>2</v>
      </c>
      <c r="N51">
        <v>1</v>
      </c>
      <c r="O51">
        <v>4</v>
      </c>
      <c r="P51">
        <v>2</v>
      </c>
      <c r="Q51">
        <v>5</v>
      </c>
      <c r="R51">
        <v>1</v>
      </c>
      <c r="S51">
        <f t="shared" si="0"/>
        <v>18.875</v>
      </c>
    </row>
    <row r="52" spans="1:19" x14ac:dyDescent="0.35">
      <c r="A52" t="s">
        <v>67</v>
      </c>
      <c r="B52">
        <v>6</v>
      </c>
      <c r="C52">
        <v>16.25</v>
      </c>
      <c r="D52">
        <v>1.3947368421052631</v>
      </c>
      <c r="E52">
        <v>43.5</v>
      </c>
      <c r="F52">
        <v>0.5</v>
      </c>
      <c r="G52">
        <v>20.25</v>
      </c>
      <c r="I52">
        <v>72</v>
      </c>
      <c r="L52">
        <v>79.25</v>
      </c>
      <c r="M52">
        <v>3</v>
      </c>
      <c r="N52">
        <v>4</v>
      </c>
      <c r="O52">
        <v>3</v>
      </c>
      <c r="P52">
        <v>3</v>
      </c>
      <c r="Q52">
        <v>5</v>
      </c>
      <c r="R52">
        <v>1</v>
      </c>
      <c r="S52">
        <f t="shared" si="0"/>
        <v>19</v>
      </c>
    </row>
    <row r="53" spans="1:19" x14ac:dyDescent="0.35">
      <c r="A53" t="s">
        <v>68</v>
      </c>
      <c r="B53">
        <v>10</v>
      </c>
      <c r="C53">
        <v>16.600000000000001</v>
      </c>
      <c r="D53">
        <v>1.9007633587786259</v>
      </c>
      <c r="E53">
        <v>19.5</v>
      </c>
      <c r="F53">
        <v>10.5</v>
      </c>
      <c r="G53">
        <v>34.25</v>
      </c>
      <c r="H53">
        <v>6468</v>
      </c>
      <c r="I53">
        <v>71</v>
      </c>
      <c r="J53">
        <v>3.333333333333333</v>
      </c>
      <c r="K53">
        <v>102.03917316439259</v>
      </c>
      <c r="L53">
        <v>55.25</v>
      </c>
      <c r="M53">
        <v>2</v>
      </c>
      <c r="N53">
        <v>1</v>
      </c>
      <c r="O53">
        <v>3</v>
      </c>
      <c r="P53">
        <v>3</v>
      </c>
      <c r="Q53">
        <v>5</v>
      </c>
      <c r="R53">
        <v>1</v>
      </c>
      <c r="S53">
        <f t="shared" si="0"/>
        <v>18.333333333333332</v>
      </c>
    </row>
    <row r="54" spans="1:19" x14ac:dyDescent="0.35">
      <c r="A54" t="s">
        <v>69</v>
      </c>
      <c r="B54">
        <v>6</v>
      </c>
      <c r="C54">
        <v>33.571428571428598</v>
      </c>
      <c r="D54">
        <v>1.4562737642585559</v>
      </c>
      <c r="E54">
        <v>2.1428571428571401</v>
      </c>
      <c r="F54">
        <v>0</v>
      </c>
      <c r="G54">
        <v>15.71428571428571</v>
      </c>
      <c r="H54">
        <v>20590.2</v>
      </c>
      <c r="I54">
        <v>44</v>
      </c>
      <c r="J54">
        <v>4.5</v>
      </c>
      <c r="K54">
        <v>146.11102732393039</v>
      </c>
      <c r="L54">
        <v>84.285714285714292</v>
      </c>
      <c r="M54">
        <v>4</v>
      </c>
      <c r="N54">
        <v>5</v>
      </c>
      <c r="O54">
        <v>5</v>
      </c>
      <c r="P54">
        <v>3</v>
      </c>
      <c r="Q54">
        <v>5</v>
      </c>
      <c r="R54">
        <v>1</v>
      </c>
      <c r="S54">
        <f t="shared" si="0"/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Saskia Campbell</cp:lastModifiedBy>
  <dcterms:created xsi:type="dcterms:W3CDTF">2026-02-25T17:31:58Z</dcterms:created>
  <dcterms:modified xsi:type="dcterms:W3CDTF">2026-02-25T17:42:00Z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8659764-63c8-4f90-b8bb-57eab7b46db6_Enabled">
    <vt:lpwstr>true</vt:lpwstr>
  </property>
  <property fmtid="{D5CDD505-2E9C-101B-9397-08002B2CF9AE}" pid="3" name="MSIP_Label_78659764-63c8-4f90-b8bb-57eab7b46db6_SetDate">
    <vt:lpwstr>2026-02-25T17:42:00Z</vt:lpwstr>
  </property>
  <property fmtid="{D5CDD505-2E9C-101B-9397-08002B2CF9AE}" pid="4" name="MSIP_Label_78659764-63c8-4f90-b8bb-57eab7b46db6_Method">
    <vt:lpwstr>Standard</vt:lpwstr>
  </property>
  <property fmtid="{D5CDD505-2E9C-101B-9397-08002B2CF9AE}" pid="5" name="MSIP_Label_78659764-63c8-4f90-b8bb-57eab7b46db6_Name">
    <vt:lpwstr>defa4170-0d19-0005-0004-bc88714345d2</vt:lpwstr>
  </property>
  <property fmtid="{D5CDD505-2E9C-101B-9397-08002B2CF9AE}" pid="6" name="MSIP_Label_78659764-63c8-4f90-b8bb-57eab7b46db6_SiteId">
    <vt:lpwstr>912a785a-67cc-420d-a3dc-e817f6ff7bfc</vt:lpwstr>
  </property>
  <property fmtid="{D5CDD505-2E9C-101B-9397-08002B2CF9AE}" pid="7" name="MSIP_Label_78659764-63c8-4f90-b8bb-57eab7b46db6_ActionId">
    <vt:lpwstr>197fa77d-5e62-410b-b33b-525bd2955d6a</vt:lpwstr>
  </property>
  <property fmtid="{D5CDD505-2E9C-101B-9397-08002B2CF9AE}" pid="8" name="MSIP_Label_78659764-63c8-4f90-b8bb-57eab7b46db6_ContentBits">
    <vt:lpwstr>0</vt:lpwstr>
  </property>
  <property fmtid="{D5CDD505-2E9C-101B-9397-08002B2CF9AE}" pid="9" name="MSIP_Label_78659764-63c8-4f90-b8bb-57eab7b46db6_Tag">
    <vt:lpwstr>10, 3, 0, 1</vt:lpwstr>
  </property>
</Properties>
</file>